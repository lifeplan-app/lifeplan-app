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・凡例" sheetId="1" state="visible" r:id="rId1"/>
    <sheet name="NISA基本複利" sheetId="2" state="visible" r:id="rId2"/>
    <sheet name="特定口座（課税）" sheetId="3" state="visible" r:id="rId3"/>
    <sheet name="生活防衛資金(targetVal)" sheetId="4" state="visible" r:id="rId4"/>
    <sheet name="targetVal2段階積み上げ" sheetId="5" state="visible" r:id="rId5"/>
    <sheet name="退職後取り崩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"/>
    <numFmt numFmtId="165" formatCode="#,##0.0"/>
    <numFmt numFmtId="166" formatCode="0.0%"/>
    <numFmt numFmtId="167" formatCode="0.000000"/>
    <numFmt numFmtId="168" formatCode="0.0000%"/>
    <numFmt numFmtId="169" formatCode="0.000%"/>
  </numFmts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444444"/>
      <sz val="11"/>
    </font>
    <font>
      <name val="Arial"/>
      <b val="1"/>
      <color rgb="00000000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sz val="14"/>
    </font>
    <font>
      <name val="Arial"/>
      <i val="1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EFF"/>
        <bgColor rgb="00DDEEFF"/>
      </patternFill>
    </fill>
    <fill>
      <patternFill patternType="solid">
        <fgColor rgb="00DDFFDD"/>
        <bgColor rgb="00DDFFD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/>
    </xf>
    <xf numFmtId="0" fontId="3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165" fontId="6" fillId="3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6" fillId="3" borderId="1" applyAlignment="1" pivotButton="0" quotePrefix="0" xfId="0">
      <alignment horizontal="right"/>
    </xf>
    <xf numFmtId="1" fontId="6" fillId="3" borderId="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5" fontId="9" fillId="4" borderId="1" applyAlignment="1" pivotButton="0" quotePrefix="0" xfId="0">
      <alignment horizontal="right"/>
    </xf>
    <xf numFmtId="0" fontId="9" fillId="0" borderId="0" pivotButton="0" quotePrefix="0" xfId="0"/>
    <xf numFmtId="164" fontId="9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7" fontId="9" fillId="4" borderId="1" applyAlignment="1" pivotButton="0" quotePrefix="0" xfId="0">
      <alignment horizontal="right"/>
    </xf>
    <xf numFmtId="169" fontId="6" fillId="3" borderId="1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1" fontId="9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 ht="30" customHeight="1">
      <c r="A1" s="1" t="inlineStr">
        <is>
          <t>シミュレーション検証スプレッドシート</t>
        </is>
      </c>
    </row>
    <row r="2" ht="22" customHeight="1">
      <c r="A2" s="2" t="inlineStr">
        <is>
          <t>index.html の計算ロジックを Excel で独立実装し、ユニットテストのゴールデンマスター値を生成</t>
        </is>
      </c>
    </row>
    <row r="4">
      <c r="A4" s="3" t="inlineStr">
        <is>
          <t>定数</t>
        </is>
      </c>
    </row>
    <row r="5">
      <c r="A5" s="4" t="inlineStr">
        <is>
          <t>定数名</t>
        </is>
      </c>
      <c r="B5" s="4" t="inlineStr">
        <is>
          <t>値</t>
        </is>
      </c>
      <c r="C5" s="4" t="inlineStr">
        <is>
          <t>説明</t>
        </is>
      </c>
    </row>
    <row r="6">
      <c r="A6" s="5" t="inlineStr">
        <is>
          <t>TAX_RATE</t>
        </is>
      </c>
      <c r="B6" s="6" t="n">
        <v>0.20315</v>
      </c>
      <c r="C6" t="inlineStr">
        <is>
          <t>譲渡益課税率（特定口座）</t>
        </is>
      </c>
    </row>
    <row r="8">
      <c r="A8" s="3" t="inlineStr">
        <is>
          <t>カラー凡例</t>
        </is>
      </c>
    </row>
    <row r="9">
      <c r="A9" s="4" t="inlineStr">
        <is>
          <t>色</t>
        </is>
      </c>
      <c r="B9" s="4" t="inlineStr">
        <is>
          <t>種別</t>
        </is>
      </c>
      <c r="C9" s="4" t="inlineStr">
        <is>
          <t>用途</t>
        </is>
      </c>
    </row>
    <row r="10">
      <c r="A10" s="5" t="inlineStr">
        <is>
          <t>青 (0,0,255)</t>
        </is>
      </c>
      <c r="B10" s="5" t="inlineStr">
        <is>
          <t>入力値</t>
        </is>
      </c>
      <c r="C10" s="5" t="inlineStr">
        <is>
          <t>ユーザーが変更するハードコード値</t>
        </is>
      </c>
    </row>
    <row r="11">
      <c r="A11" s="5" t="inlineStr">
        <is>
          <t>黒 (0,0,0)</t>
        </is>
      </c>
      <c r="B11" s="5" t="inlineStr">
        <is>
          <t>計算式</t>
        </is>
      </c>
      <c r="C11" s="5" t="inlineStr">
        <is>
          <t>Excel で計算するセル</t>
        </is>
      </c>
    </row>
    <row r="12">
      <c r="A12" s="5" t="inlineStr">
        <is>
          <t>緑 (0,128,0)</t>
        </is>
      </c>
      <c r="B12" s="5" t="inlineStr">
        <is>
          <t>検証結果</t>
        </is>
      </c>
      <c r="C12" s="5" t="inlineStr">
        <is>
          <t>ゴールデンマスター値・サマリ</t>
        </is>
      </c>
    </row>
    <row r="14">
      <c r="A14" s="3" t="inlineStr">
        <is>
          <t>計算ロジック概要</t>
        </is>
      </c>
    </row>
    <row r="15">
      <c r="A15" s="7" t="inlineStr">
        <is>
          <t>calcAssetGrowth（毎年）</t>
        </is>
      </c>
      <c r="B15" s="8" t="inlineStr">
        <is>
          <t>balance = ROUND(prev*(1+effectiveRate)+annualContrib, 1)</t>
        </is>
      </c>
    </row>
    <row r="16">
      <c r="A16" s="7" t="inlineStr">
        <is>
          <t>tokutei effectiveRate</t>
        </is>
      </c>
      <c r="B16" s="8" t="inlineStr">
        <is>
          <t>annualReturn * (1 - TAX_RATE)</t>
        </is>
      </c>
    </row>
    <row r="17">
      <c r="A17" s="7" t="inlineStr">
        <is>
          <t>nisa / cash effectiveRate</t>
        </is>
      </c>
      <c r="B17" s="8" t="inlineStr">
        <is>
          <t>annualReturn（課税なし）</t>
        </is>
      </c>
    </row>
    <row r="18">
      <c r="A18" s="7" t="inlineStr">
        <is>
          <t>targetVal上限</t>
        </is>
      </c>
      <c r="B18" s="8" t="inlineStr">
        <is>
          <t>残高がtargetValを超えた場合、上限で打ち止め＋超過分をoverflowへ</t>
        </is>
      </c>
    </row>
    <row r="19">
      <c r="A19" s="7" t="inlineStr">
        <is>
          <t>ROUND処理</t>
        </is>
      </c>
      <c r="B19" s="8" t="inlineStr">
        <is>
          <t>Math.round(value*10)/10 → 小数1桁</t>
        </is>
      </c>
    </row>
    <row r="20">
      <c r="A20" s="7" t="inlineStr">
        <is>
          <t>projectEmergencyBalance</t>
        </is>
      </c>
      <c r="B20" s="8" t="inlineStr">
        <is>
          <t>bal = MIN(cap, ROUND(bal*(1+rate)+MIN(monthly*12, MAX(0,cap-bal)), 1))</t>
        </is>
      </c>
    </row>
  </sheetData>
  <mergeCells count="8">
    <mergeCell ref="B16:C16"/>
    <mergeCell ref="B15:C15"/>
    <mergeCell ref="A1:C1"/>
    <mergeCell ref="B19:C19"/>
    <mergeCell ref="B20:C20"/>
    <mergeCell ref="B17:C17"/>
    <mergeCell ref="B18:C1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2" customWidth="1" min="4" max="4"/>
    <col width="22" customWidth="1" min="5" max="5"/>
    <col width="32" customWidth="1" min="6" max="6"/>
  </cols>
  <sheetData>
    <row r="1">
      <c r="A1" s="9" t="inlineStr">
        <is>
          <t>NISA基本複利検証</t>
        </is>
      </c>
    </row>
    <row r="3">
      <c r="A3" s="10" t="inlineStr">
        <is>
          <t>シナリオ: NISA積立枠、初期0万、月5万（年60万）、年利5%（非課税）、10年</t>
        </is>
      </c>
    </row>
    <row r="5">
      <c r="A5" s="4" t="inlineStr">
        <is>
          <t>変数名</t>
        </is>
      </c>
      <c r="B5" s="4" t="inlineStr">
        <is>
          <t>値</t>
        </is>
      </c>
      <c r="C5" s="4" t="inlineStr">
        <is>
          <t>説明</t>
        </is>
      </c>
    </row>
    <row r="6">
      <c r="A6" s="5" t="inlineStr">
        <is>
          <t>initial</t>
        </is>
      </c>
      <c r="B6" s="11" t="n">
        <v>0</v>
      </c>
      <c r="C6" s="8" t="inlineStr">
        <is>
          <t>初期残高（万円）</t>
        </is>
      </c>
    </row>
    <row r="7">
      <c r="A7" s="5" t="inlineStr">
        <is>
          <t>monthly</t>
        </is>
      </c>
      <c r="B7" s="11" t="n">
        <v>5</v>
      </c>
      <c r="C7" s="8" t="inlineStr">
        <is>
          <t>月次積立額（万円）</t>
        </is>
      </c>
    </row>
    <row r="8">
      <c r="A8" s="5" t="inlineStr">
        <is>
          <t>annual_contrib</t>
        </is>
      </c>
      <c r="B8" s="12">
        <f>B7*12</f>
        <v/>
      </c>
      <c r="C8" s="8" t="inlineStr">
        <is>
          <t>年次積立額（万円）= monthly×12</t>
        </is>
      </c>
    </row>
    <row r="9">
      <c r="A9" s="5" t="inlineStr">
        <is>
          <t>rate</t>
        </is>
      </c>
      <c r="B9" s="13" t="n">
        <v>0.05</v>
      </c>
      <c r="C9" s="8" t="inlineStr">
        <is>
          <t>期待利回り（年率、NISA非課税）</t>
        </is>
      </c>
    </row>
    <row r="10">
      <c r="A10" s="5" t="inlineStr">
        <is>
          <t>target_years</t>
        </is>
      </c>
      <c r="B10" s="14" t="n">
        <v>10</v>
      </c>
      <c r="C10" s="8" t="inlineStr">
        <is>
          <t>積立年数</t>
        </is>
      </c>
    </row>
    <row r="12">
      <c r="A12" s="3" t="inlineStr">
        <is>
          <t>年別推移</t>
        </is>
      </c>
    </row>
    <row r="13">
      <c r="A13" s="4" t="inlineStr">
        <is>
          <t>年</t>
        </is>
      </c>
      <c r="B13" s="4" t="inlineStr">
        <is>
          <t>残高（万円）</t>
        </is>
      </c>
      <c r="C13" s="4" t="inlineStr">
        <is>
          <t>年次積立（万円）</t>
        </is>
      </c>
      <c r="D13" s="4" t="inlineStr">
        <is>
          <t>オーバーフロー（万円）</t>
        </is>
      </c>
      <c r="E13" s="4" t="inlineStr">
        <is>
          <t>検証値（ゴールデンマスター）</t>
        </is>
      </c>
    </row>
    <row r="14">
      <c r="A14" s="8" t="n">
        <v>0</v>
      </c>
      <c r="B14" s="12" t="n">
        <v>0</v>
      </c>
      <c r="C14" s="15" t="inlineStr">
        <is>
          <t>-</t>
        </is>
      </c>
      <c r="D14" s="15" t="inlineStr">
        <is>
          <t>-</t>
        </is>
      </c>
      <c r="E14" s="16" t="n">
        <v>0</v>
      </c>
    </row>
    <row r="15">
      <c r="A15" s="8" t="n">
        <v>1</v>
      </c>
      <c r="B15" s="12" t="n">
        <v>60</v>
      </c>
      <c r="C15" s="12" t="n">
        <v>60</v>
      </c>
      <c r="D15" s="12" t="n">
        <v>0</v>
      </c>
      <c r="E15" s="16" t="n">
        <v>60</v>
      </c>
    </row>
    <row r="16">
      <c r="A16" s="8" t="n">
        <v>2</v>
      </c>
      <c r="B16" s="12" t="n">
        <v>123</v>
      </c>
      <c r="C16" s="12" t="n">
        <v>60</v>
      </c>
      <c r="D16" s="12" t="n">
        <v>0</v>
      </c>
      <c r="E16" s="16" t="n">
        <v>123</v>
      </c>
    </row>
    <row r="17">
      <c r="A17" s="8" t="n">
        <v>3</v>
      </c>
      <c r="B17" s="12" t="n">
        <v>189.2</v>
      </c>
      <c r="C17" s="12" t="n">
        <v>60</v>
      </c>
      <c r="D17" s="12" t="n">
        <v>0</v>
      </c>
      <c r="E17" s="16" t="n">
        <v>189.2</v>
      </c>
    </row>
    <row r="18">
      <c r="A18" s="8" t="n">
        <v>4</v>
      </c>
      <c r="B18" s="12" t="n">
        <v>258.7</v>
      </c>
      <c r="C18" s="12" t="n">
        <v>60</v>
      </c>
      <c r="D18" s="12" t="n">
        <v>0</v>
      </c>
      <c r="E18" s="16" t="n">
        <v>258.7</v>
      </c>
    </row>
    <row r="19">
      <c r="A19" s="8" t="n">
        <v>5</v>
      </c>
      <c r="B19" s="12" t="n">
        <v>331.6</v>
      </c>
      <c r="C19" s="12" t="n">
        <v>60</v>
      </c>
      <c r="D19" s="12" t="n">
        <v>0</v>
      </c>
      <c r="E19" s="16" t="n">
        <v>331.6</v>
      </c>
    </row>
    <row r="20">
      <c r="A20" s="8" t="n">
        <v>6</v>
      </c>
      <c r="B20" s="12" t="n">
        <v>408.2</v>
      </c>
      <c r="C20" s="12" t="n">
        <v>60</v>
      </c>
      <c r="D20" s="12" t="n">
        <v>0</v>
      </c>
      <c r="E20" s="16" t="n">
        <v>408.2</v>
      </c>
    </row>
    <row r="21">
      <c r="A21" s="8" t="n">
        <v>7</v>
      </c>
      <c r="B21" s="12" t="n">
        <v>488.6</v>
      </c>
      <c r="C21" s="12" t="n">
        <v>60</v>
      </c>
      <c r="D21" s="12" t="n">
        <v>0</v>
      </c>
      <c r="E21" s="16" t="n">
        <v>488.6</v>
      </c>
    </row>
    <row r="22">
      <c r="A22" s="8" t="n">
        <v>8</v>
      </c>
      <c r="B22" s="12" t="n">
        <v>573</v>
      </c>
      <c r="C22" s="12" t="n">
        <v>60</v>
      </c>
      <c r="D22" s="12" t="n">
        <v>0</v>
      </c>
      <c r="E22" s="16" t="n">
        <v>573</v>
      </c>
    </row>
    <row r="23">
      <c r="A23" s="8" t="n">
        <v>9</v>
      </c>
      <c r="B23" s="12" t="n">
        <v>661.7</v>
      </c>
      <c r="C23" s="12" t="n">
        <v>60</v>
      </c>
      <c r="D23" s="12" t="n">
        <v>0</v>
      </c>
      <c r="E23" s="16" t="n">
        <v>661.7</v>
      </c>
    </row>
    <row r="24">
      <c r="A24" s="8" t="n">
        <v>10</v>
      </c>
      <c r="B24" s="12" t="n">
        <v>754.8</v>
      </c>
      <c r="C24" s="12" t="n">
        <v>60</v>
      </c>
      <c r="D24" s="12" t="n">
        <v>0</v>
      </c>
      <c r="E24" s="16" t="n">
        <v>754.8</v>
      </c>
    </row>
    <row r="26">
      <c r="A26" s="3" t="inlineStr">
        <is>
          <t>検証値サマリ</t>
        </is>
      </c>
    </row>
    <row r="27">
      <c r="A27" s="4" t="inlineStr">
        <is>
          <t>項目</t>
        </is>
      </c>
      <c r="B27" s="4" t="inlineStr">
        <is>
          <t>値</t>
        </is>
      </c>
    </row>
    <row r="28">
      <c r="A28" s="5" t="inlineStr">
        <is>
          <t>10年後残高（万円）</t>
        </is>
      </c>
      <c r="B28" s="16" t="n">
        <v>754.8</v>
      </c>
      <c r="C28" s="17" t="inlineStr">
        <is>
          <t>← NISA 10年後ゴールデンマスター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</cols>
  <sheetData>
    <row r="1">
      <c r="A1" s="9" t="inlineStr">
        <is>
          <t>特定口座（課税）検証</t>
        </is>
      </c>
    </row>
    <row r="3">
      <c r="A3" s="10" t="inlineStr">
        <is>
          <t>シナリオ: 特定口座、初期100万、積立なし、年利7%（課税）、10年</t>
        </is>
      </c>
    </row>
    <row r="5">
      <c r="A5" s="4" t="inlineStr">
        <is>
          <t>変数名</t>
        </is>
      </c>
      <c r="B5" s="4" t="inlineStr">
        <is>
          <t>値</t>
        </is>
      </c>
      <c r="C5" s="4" t="inlineStr">
        <is>
          <t>説明</t>
        </is>
      </c>
    </row>
    <row r="6">
      <c r="A6" s="5" t="inlineStr">
        <is>
          <t>initial</t>
        </is>
      </c>
      <c r="B6" s="11" t="n">
        <v>100</v>
      </c>
      <c r="C6" s="8" t="inlineStr">
        <is>
          <t>初期残高（万円）</t>
        </is>
      </c>
    </row>
    <row r="7">
      <c r="A7" s="5" t="inlineStr">
        <is>
          <t>rate</t>
        </is>
      </c>
      <c r="B7" s="13" t="n">
        <v>0.07000000000000001</v>
      </c>
      <c r="C7" s="8" t="inlineStr">
        <is>
          <t>期待利回り（年率）</t>
        </is>
      </c>
    </row>
    <row r="8">
      <c r="A8" s="5" t="inlineStr">
        <is>
          <t>TAX_RATE</t>
        </is>
      </c>
      <c r="B8" s="18">
        <f>'前提・凡例'!B6</f>
        <v/>
      </c>
      <c r="C8" s="8" t="inlineStr">
        <is>
          <t>← 前提・凡例シートから参照</t>
        </is>
      </c>
    </row>
    <row r="9">
      <c r="A9" s="5" t="inlineStr">
        <is>
          <t>effectiveRate</t>
        </is>
      </c>
      <c r="B9" s="19">
        <f>B7*(1-B8)</f>
        <v/>
      </c>
      <c r="C9" s="8" t="inlineStr">
        <is>
          <t>実効利回り = rate×(1-TAX_RATE)</t>
        </is>
      </c>
    </row>
    <row r="12">
      <c r="A12" s="3" t="inlineStr">
        <is>
          <t>年別推移</t>
        </is>
      </c>
    </row>
    <row r="13">
      <c r="A13" s="4" t="inlineStr">
        <is>
          <t>年</t>
        </is>
      </c>
      <c r="B13" s="4" t="inlineStr">
        <is>
          <t>残高（万円）</t>
        </is>
      </c>
      <c r="C13" s="4" t="inlineStr">
        <is>
          <t>実効利回り適用</t>
        </is>
      </c>
      <c r="D13" s="4" t="inlineStr">
        <is>
          <t>検証値（ゴールデンマスター）</t>
        </is>
      </c>
    </row>
    <row r="14">
      <c r="A14" s="8" t="n">
        <v>0</v>
      </c>
      <c r="B14" s="12" t="n">
        <v>100</v>
      </c>
      <c r="C14" s="15" t="inlineStr">
        <is>
          <t>-</t>
        </is>
      </c>
      <c r="D14" s="16" t="n">
        <v>100</v>
      </c>
    </row>
    <row r="15">
      <c r="A15" s="8" t="n">
        <v>1</v>
      </c>
      <c r="B15" s="12" t="n">
        <v>105.6</v>
      </c>
      <c r="C15" s="20" t="n">
        <v>5.578</v>
      </c>
      <c r="D15" s="16" t="n">
        <v>105.6</v>
      </c>
    </row>
    <row r="16">
      <c r="A16" s="8" t="n">
        <v>2</v>
      </c>
      <c r="B16" s="12" t="n">
        <v>111.5</v>
      </c>
      <c r="C16" s="20" t="n">
        <v>5.578</v>
      </c>
      <c r="D16" s="16" t="n">
        <v>111.5</v>
      </c>
    </row>
    <row r="17">
      <c r="A17" s="8" t="n">
        <v>3</v>
      </c>
      <c r="B17" s="12" t="n">
        <v>117.7</v>
      </c>
      <c r="C17" s="20" t="n">
        <v>5.578</v>
      </c>
      <c r="D17" s="16" t="n">
        <v>117.7</v>
      </c>
    </row>
    <row r="18">
      <c r="A18" s="8" t="n">
        <v>4</v>
      </c>
      <c r="B18" s="12" t="n">
        <v>124.3</v>
      </c>
      <c r="C18" s="20" t="n">
        <v>5.578</v>
      </c>
      <c r="D18" s="16" t="n">
        <v>124.3</v>
      </c>
    </row>
    <row r="19">
      <c r="A19" s="8" t="n">
        <v>5</v>
      </c>
      <c r="B19" s="12" t="n">
        <v>131.2</v>
      </c>
      <c r="C19" s="20" t="n">
        <v>5.578</v>
      </c>
      <c r="D19" s="16" t="n">
        <v>131.2</v>
      </c>
    </row>
    <row r="20">
      <c r="A20" s="8" t="n">
        <v>6</v>
      </c>
      <c r="B20" s="12" t="n">
        <v>138.5</v>
      </c>
      <c r="C20" s="20" t="n">
        <v>5.578</v>
      </c>
      <c r="D20" s="16" t="n">
        <v>138.5</v>
      </c>
    </row>
    <row r="21">
      <c r="A21" s="8" t="n">
        <v>7</v>
      </c>
      <c r="B21" s="12" t="n">
        <v>146.2</v>
      </c>
      <c r="C21" s="20" t="n">
        <v>5.578</v>
      </c>
      <c r="D21" s="16" t="n">
        <v>146.2</v>
      </c>
    </row>
    <row r="22">
      <c r="A22" s="8" t="n">
        <v>8</v>
      </c>
      <c r="B22" s="12" t="n">
        <v>154.4</v>
      </c>
      <c r="C22" s="20" t="n">
        <v>5.578</v>
      </c>
      <c r="D22" s="16" t="n">
        <v>154.4</v>
      </c>
    </row>
    <row r="23">
      <c r="A23" s="8" t="n">
        <v>9</v>
      </c>
      <c r="B23" s="12" t="n">
        <v>163</v>
      </c>
      <c r="C23" s="20" t="n">
        <v>5.578</v>
      </c>
      <c r="D23" s="16" t="n">
        <v>163</v>
      </c>
    </row>
    <row r="24">
      <c r="A24" s="8" t="n">
        <v>10</v>
      </c>
      <c r="B24" s="12" t="n">
        <v>172.1</v>
      </c>
      <c r="C24" s="20" t="n">
        <v>5.578</v>
      </c>
      <c r="D24" s="16" t="n">
        <v>172.1</v>
      </c>
    </row>
    <row r="26">
      <c r="A26" s="3" t="inlineStr">
        <is>
          <t>検証値サマリ</t>
        </is>
      </c>
    </row>
    <row r="27">
      <c r="A27" s="4" t="inlineStr">
        <is>
          <t>項目</t>
        </is>
      </c>
      <c r="B27" s="4" t="inlineStr">
        <is>
          <t>値</t>
        </is>
      </c>
    </row>
    <row r="28">
      <c r="A28" s="5" t="inlineStr">
        <is>
          <t>10年後残高（万円）</t>
        </is>
      </c>
      <c r="B28" s="16" t="n">
        <v>172.1</v>
      </c>
      <c r="C28" s="17" t="inlineStr">
        <is>
          <t>← 特定口座 10年後ゴールデンマスター</t>
        </is>
      </c>
    </row>
    <row r="29">
      <c r="A29" s="5" t="inlineStr">
        <is>
          <t>実効利回り</t>
        </is>
      </c>
      <c r="B29" s="21" t="n">
        <v>0.05577950000000001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4" customWidth="1" min="4" max="4"/>
    <col width="20" customWidth="1" min="5" max="5"/>
    <col width="30" customWidth="1" min="6" max="6"/>
  </cols>
  <sheetData>
    <row r="1">
      <c r="A1" s="9" t="inlineStr">
        <is>
          <t>生活防衛資金 targetVal 検証</t>
        </is>
      </c>
    </row>
    <row r="3">
      <c r="A3" s="10" t="inlineStr">
        <is>
          <t>シナリオ: cash_emergency、初期120万、月3万（年36万）、利0.1%、targetVal=300万</t>
        </is>
      </c>
    </row>
    <row r="5">
      <c r="A5" s="4" t="inlineStr">
        <is>
          <t>変数名</t>
        </is>
      </c>
      <c r="B5" s="4" t="inlineStr">
        <is>
          <t>値</t>
        </is>
      </c>
      <c r="C5" s="4" t="inlineStr">
        <is>
          <t>説明</t>
        </is>
      </c>
    </row>
    <row r="6">
      <c r="A6" s="5" t="inlineStr">
        <is>
          <t>initial</t>
        </is>
      </c>
      <c r="B6" s="11" t="n">
        <v>120</v>
      </c>
      <c r="C6" s="8" t="inlineStr">
        <is>
          <t>初期残高（万円）</t>
        </is>
      </c>
    </row>
    <row r="7">
      <c r="A7" s="5" t="inlineStr">
        <is>
          <t>monthly</t>
        </is>
      </c>
      <c r="B7" s="11" t="n">
        <v>3</v>
      </c>
      <c r="C7" s="8" t="inlineStr">
        <is>
          <t>月次積立額（万円）</t>
        </is>
      </c>
    </row>
    <row r="8">
      <c r="A8" s="5" t="inlineStr">
        <is>
          <t>annual_contrib</t>
        </is>
      </c>
      <c r="B8" s="12">
        <f>B7*12</f>
        <v/>
      </c>
      <c r="C8" s="8" t="inlineStr">
        <is>
          <t>年次積立額（万円）= monthly×12</t>
        </is>
      </c>
    </row>
    <row r="9">
      <c r="A9" s="5" t="inlineStr">
        <is>
          <t>rate</t>
        </is>
      </c>
      <c r="B9" s="22" t="n">
        <v>0.001</v>
      </c>
      <c r="C9" s="8" t="inlineStr">
        <is>
          <t>期待利回り（年率）</t>
        </is>
      </c>
    </row>
    <row r="10">
      <c r="A10" s="5" t="inlineStr">
        <is>
          <t>targetVal</t>
        </is>
      </c>
      <c r="B10" s="11" t="n">
        <v>300</v>
      </c>
      <c r="C10" s="8" t="inlineStr">
        <is>
          <t>目標残高（万円）</t>
        </is>
      </c>
    </row>
    <row r="13">
      <c r="A13" s="3" t="inlineStr">
        <is>
          <t>年別推移</t>
        </is>
      </c>
    </row>
    <row r="14">
      <c r="A14" s="4" t="inlineStr">
        <is>
          <t>年</t>
        </is>
      </c>
      <c r="B14" s="4" t="inlineStr">
        <is>
          <t>残高（万円）</t>
        </is>
      </c>
      <c r="C14" s="4" t="inlineStr">
        <is>
          <t>年次積立（万円）</t>
        </is>
      </c>
      <c r="D14" s="4" t="inlineStr">
        <is>
          <t>オーバーフロー（万円）</t>
        </is>
      </c>
      <c r="E14" s="4" t="inlineStr">
        <is>
          <t>target達成</t>
        </is>
      </c>
      <c r="F14" s="4" t="inlineStr">
        <is>
          <t>検証値（GM）</t>
        </is>
      </c>
    </row>
    <row r="15">
      <c r="A15" s="8" t="n">
        <v>0</v>
      </c>
      <c r="B15" s="12" t="n">
        <v>120</v>
      </c>
      <c r="C15" s="15" t="inlineStr">
        <is>
          <t>-</t>
        </is>
      </c>
      <c r="D15" s="15" t="inlineStr">
        <is>
          <t>-</t>
        </is>
      </c>
      <c r="E15" s="23" t="inlineStr"/>
      <c r="F15" s="16" t="n">
        <v>120</v>
      </c>
    </row>
    <row r="16">
      <c r="A16" s="8" t="n">
        <v>1</v>
      </c>
      <c r="B16" s="12" t="n">
        <v>156.1</v>
      </c>
      <c r="C16" s="12" t="n">
        <v>36</v>
      </c>
      <c r="D16" s="12" t="n">
        <v>0</v>
      </c>
      <c r="E16" s="23" t="inlineStr"/>
      <c r="F16" s="16" t="n">
        <v>156.1</v>
      </c>
    </row>
    <row r="17">
      <c r="A17" s="8" t="n">
        <v>2</v>
      </c>
      <c r="B17" s="12" t="n">
        <v>192.3</v>
      </c>
      <c r="C17" s="12" t="n">
        <v>36</v>
      </c>
      <c r="D17" s="12" t="n">
        <v>0</v>
      </c>
      <c r="E17" s="23" t="inlineStr"/>
      <c r="F17" s="16" t="n">
        <v>192.3</v>
      </c>
    </row>
    <row r="18">
      <c r="A18" s="8" t="n">
        <v>3</v>
      </c>
      <c r="B18" s="12" t="n">
        <v>228.5</v>
      </c>
      <c r="C18" s="12" t="n">
        <v>36</v>
      </c>
      <c r="D18" s="12" t="n">
        <v>0</v>
      </c>
      <c r="E18" s="23" t="inlineStr"/>
      <c r="F18" s="16" t="n">
        <v>228.5</v>
      </c>
    </row>
    <row r="19">
      <c r="A19" s="8" t="n">
        <v>4</v>
      </c>
      <c r="B19" s="12" t="n">
        <v>264.7</v>
      </c>
      <c r="C19" s="12" t="n">
        <v>36</v>
      </c>
      <c r="D19" s="12" t="n">
        <v>0</v>
      </c>
      <c r="E19" s="23" t="inlineStr"/>
      <c r="F19" s="16" t="n">
        <v>264.7</v>
      </c>
    </row>
    <row r="20">
      <c r="A20" s="8" t="n">
        <v>5</v>
      </c>
      <c r="B20" s="12" t="n">
        <v>300</v>
      </c>
      <c r="C20" s="12" t="n">
        <v>36</v>
      </c>
      <c r="D20" s="12" t="n">
        <v>1</v>
      </c>
      <c r="E20" s="23" t="inlineStr">
        <is>
          <t>達成</t>
        </is>
      </c>
      <c r="F20" s="16" t="n">
        <v>300</v>
      </c>
    </row>
    <row r="21">
      <c r="A21" s="8" t="n">
        <v>6</v>
      </c>
      <c r="B21" s="12" t="n">
        <v>300</v>
      </c>
      <c r="C21" s="12" t="n">
        <v>0</v>
      </c>
      <c r="D21" s="12" t="n">
        <v>36</v>
      </c>
      <c r="E21" s="23" t="inlineStr">
        <is>
          <t>達成</t>
        </is>
      </c>
      <c r="F21" s="16" t="n">
        <v>300</v>
      </c>
    </row>
    <row r="22">
      <c r="A22" s="8" t="n">
        <v>7</v>
      </c>
      <c r="B22" s="12" t="n">
        <v>300</v>
      </c>
      <c r="C22" s="12" t="n">
        <v>0</v>
      </c>
      <c r="D22" s="12" t="n">
        <v>36</v>
      </c>
      <c r="E22" s="23" t="inlineStr">
        <is>
          <t>達成</t>
        </is>
      </c>
      <c r="F22" s="16" t="n">
        <v>300</v>
      </c>
    </row>
    <row r="23">
      <c r="A23" s="8" t="n">
        <v>8</v>
      </c>
      <c r="B23" s="12" t="n">
        <v>300</v>
      </c>
      <c r="C23" s="12" t="n">
        <v>0</v>
      </c>
      <c r="D23" s="12" t="n">
        <v>36</v>
      </c>
      <c r="E23" s="23" t="inlineStr">
        <is>
          <t>達成</t>
        </is>
      </c>
      <c r="F23" s="16" t="n">
        <v>300</v>
      </c>
    </row>
    <row r="24">
      <c r="A24" s="8" t="n">
        <v>9</v>
      </c>
      <c r="B24" s="12" t="n">
        <v>300</v>
      </c>
      <c r="C24" s="12" t="n">
        <v>0</v>
      </c>
      <c r="D24" s="12" t="n">
        <v>36</v>
      </c>
      <c r="E24" s="23" t="inlineStr">
        <is>
          <t>達成</t>
        </is>
      </c>
      <c r="F24" s="16" t="n">
        <v>300</v>
      </c>
    </row>
    <row r="25">
      <c r="A25" s="8" t="n">
        <v>10</v>
      </c>
      <c r="B25" s="12" t="n">
        <v>300</v>
      </c>
      <c r="C25" s="12" t="n">
        <v>0</v>
      </c>
      <c r="D25" s="12" t="n">
        <v>36</v>
      </c>
      <c r="E25" s="23" t="inlineStr">
        <is>
          <t>達成</t>
        </is>
      </c>
      <c r="F25" s="16" t="n">
        <v>300</v>
      </c>
    </row>
    <row r="27">
      <c r="A27" s="3" t="inlineStr">
        <is>
          <t>検証値サマリ</t>
        </is>
      </c>
    </row>
    <row r="28">
      <c r="A28" s="4" t="inlineStr">
        <is>
          <t>項目</t>
        </is>
      </c>
      <c r="B28" s="4" t="inlineStr">
        <is>
          <t>値</t>
        </is>
      </c>
    </row>
    <row r="29">
      <c r="A29" s="5" t="inlineStr">
        <is>
          <t>target達成年</t>
        </is>
      </c>
      <c r="B29" s="24" t="n">
        <v>5</v>
      </c>
    </row>
    <row r="30">
      <c r="A30" s="5" t="inlineStr">
        <is>
          <t>1年後残高</t>
        </is>
      </c>
      <c r="B30" s="16" t="n">
        <v>156.1</v>
      </c>
    </row>
    <row r="31">
      <c r="A31" s="5" t="inlineStr">
        <is>
          <t>2年後残高</t>
        </is>
      </c>
      <c r="B31" s="16" t="n">
        <v>192.3</v>
      </c>
    </row>
    <row r="32">
      <c r="A32" s="5" t="inlineStr">
        <is>
          <t>3年後残高</t>
        </is>
      </c>
      <c r="B32" s="16" t="n">
        <v>228.5</v>
      </c>
    </row>
    <row r="33">
      <c r="A33" s="5" t="inlineStr">
        <is>
          <t>4年後残高</t>
        </is>
      </c>
      <c r="B33" s="16" t="n">
        <v>264.7</v>
      </c>
    </row>
    <row r="34">
      <c r="A34" s="5" t="inlineStr">
        <is>
          <t>5年後残高</t>
        </is>
      </c>
      <c r="B34" s="16" t="n">
        <v>300</v>
      </c>
    </row>
    <row r="35">
      <c r="A35" s="5" t="inlineStr">
        <is>
          <t>6年後残高</t>
        </is>
      </c>
      <c r="B35" s="16" t="n">
        <v>300</v>
      </c>
    </row>
    <row r="36">
      <c r="A36" s="5" t="inlineStr">
        <is>
          <t>7年後残高</t>
        </is>
      </c>
      <c r="B36" s="16" t="n">
        <v>300</v>
      </c>
    </row>
    <row r="37">
      <c r="A37" s="5" t="inlineStr">
        <is>
          <t>8年後残高</t>
        </is>
      </c>
      <c r="B37" s="16" t="n">
        <v>300</v>
      </c>
    </row>
    <row r="38">
      <c r="A38" s="5" t="inlineStr">
        <is>
          <t>9年後残高</t>
        </is>
      </c>
      <c r="B38" s="16" t="n">
        <v>300</v>
      </c>
    </row>
    <row r="39">
      <c r="A39" s="5" t="inlineStr">
        <is>
          <t>10年後残高</t>
        </is>
      </c>
      <c r="B39" s="16" t="n">
        <v>300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0" customWidth="1" min="4" max="4"/>
    <col width="20" customWidth="1" min="5" max="5"/>
    <col width="22" customWidth="1" min="6" max="6"/>
    <col width="22" customWidth="1" min="7" max="7"/>
    <col width="22" customWidth="1" min="8" max="8"/>
  </cols>
  <sheetData>
    <row r="1">
      <c r="A1" s="9" t="inlineStr">
        <is>
          <t>targetVal2 段階積み上げ検証</t>
        </is>
      </c>
    </row>
    <row r="3">
      <c r="A3" s="10" t="inlineStr">
        <is>
          <t>シナリオ: Phase1(0→300万): 初期120万, 月3万, 利0.1% → Phase2(300→500万): NISA overflow 60万/年追加（6年目から）</t>
        </is>
      </c>
    </row>
    <row r="5">
      <c r="A5" s="4" t="inlineStr">
        <is>
          <t>変数名</t>
        </is>
      </c>
      <c r="B5" s="4" t="inlineStr">
        <is>
          <t>値</t>
        </is>
      </c>
      <c r="C5" s="4" t="inlineStr">
        <is>
          <t>説明</t>
        </is>
      </c>
    </row>
    <row r="6">
      <c r="A6" s="5" t="inlineStr">
        <is>
          <t>initial</t>
        </is>
      </c>
      <c r="B6" s="11" t="n">
        <v>120</v>
      </c>
      <c r="C6" s="8" t="inlineStr">
        <is>
          <t>初期残高（万円）</t>
        </is>
      </c>
    </row>
    <row r="7">
      <c r="A7" s="5" t="inlineStr">
        <is>
          <t>targetVal</t>
        </is>
      </c>
      <c r="B7" s="11" t="n">
        <v>300</v>
      </c>
      <c r="C7" s="8" t="inlineStr">
        <is>
          <t>Phase1目標（万円）</t>
        </is>
      </c>
    </row>
    <row r="8">
      <c r="A8" s="5" t="inlineStr">
        <is>
          <t>targetVal2</t>
        </is>
      </c>
      <c r="B8" s="11" t="n">
        <v>500</v>
      </c>
      <c r="C8" s="8" t="inlineStr">
        <is>
          <t>Phase2目標（万円）</t>
        </is>
      </c>
    </row>
    <row r="9">
      <c r="A9" s="5" t="inlineStr">
        <is>
          <t>monthly</t>
        </is>
      </c>
      <c r="B9" s="11" t="n">
        <v>3</v>
      </c>
      <c r="C9" s="8" t="inlineStr">
        <is>
          <t>月次自己積立額（万円）</t>
        </is>
      </c>
    </row>
    <row r="10">
      <c r="A10" s="5" t="inlineStr">
        <is>
          <t>rate</t>
        </is>
      </c>
      <c r="B10" s="22" t="n">
        <v>0.001</v>
      </c>
      <c r="C10" s="8" t="inlineStr">
        <is>
          <t>期待利回り（年率）</t>
        </is>
      </c>
    </row>
    <row r="11">
      <c r="A11" s="5" t="inlineStr">
        <is>
          <t>extra_start_year</t>
        </is>
      </c>
      <c r="B11" s="14" t="n">
        <v>6</v>
      </c>
      <c r="C11" s="8" t="inlineStr">
        <is>
          <t>外部流入開始年（Phase2）</t>
        </is>
      </c>
    </row>
    <row r="12">
      <c r="A12" s="5" t="inlineStr">
        <is>
          <t>extra_amount</t>
        </is>
      </c>
      <c r="B12" s="11" t="n">
        <v>60</v>
      </c>
      <c r="C12" s="8" t="inlineStr">
        <is>
          <t>外部流入年額（万円）</t>
        </is>
      </c>
    </row>
    <row r="15">
      <c r="A15" s="3" t="inlineStr">
        <is>
          <t>年別推移</t>
        </is>
      </c>
    </row>
    <row r="16">
      <c r="A16" s="4" t="inlineStr">
        <is>
          <t>年</t>
        </is>
      </c>
      <c r="B16" s="4" t="inlineStr">
        <is>
          <t>残高（万円）</t>
        </is>
      </c>
      <c r="C16" s="4" t="inlineStr">
        <is>
          <t>フェーズ</t>
        </is>
      </c>
      <c r="D16" s="4" t="inlineStr">
        <is>
          <t>自己積立（万円）</t>
        </is>
      </c>
      <c r="E16" s="4" t="inlineStr">
        <is>
          <t>外部流入（万円）</t>
        </is>
      </c>
      <c r="F16" s="4" t="inlineStr">
        <is>
          <t>OF Phase1（万円）</t>
        </is>
      </c>
      <c r="G16" s="4" t="inlineStr">
        <is>
          <t>OF Phase2（万円）</t>
        </is>
      </c>
      <c r="H16" s="4" t="inlineStr">
        <is>
          <t>検証値（GM）</t>
        </is>
      </c>
    </row>
    <row r="17">
      <c r="A17" s="8" t="n">
        <v>0</v>
      </c>
      <c r="B17" s="12" t="n">
        <v>120</v>
      </c>
      <c r="C17" s="23" t="inlineStr">
        <is>
          <t>Phase1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6" t="n">
        <v>120</v>
      </c>
    </row>
    <row r="18">
      <c r="A18" s="8" t="n">
        <v>1</v>
      </c>
      <c r="B18" s="12" t="n">
        <v>156.1</v>
      </c>
      <c r="C18" s="23" t="inlineStr">
        <is>
          <t>Phase1</t>
        </is>
      </c>
      <c r="D18" s="12" t="n">
        <v>36</v>
      </c>
      <c r="E18" s="12" t="n">
        <v>0</v>
      </c>
      <c r="F18" s="12" t="n">
        <v>0</v>
      </c>
      <c r="G18" s="12" t="n">
        <v>0</v>
      </c>
      <c r="H18" s="16" t="n">
        <v>156.1</v>
      </c>
    </row>
    <row r="19">
      <c r="A19" s="8" t="n">
        <v>2</v>
      </c>
      <c r="B19" s="12" t="n">
        <v>192.3</v>
      </c>
      <c r="C19" s="23" t="inlineStr">
        <is>
          <t>Phase1</t>
        </is>
      </c>
      <c r="D19" s="12" t="n">
        <v>36</v>
      </c>
      <c r="E19" s="12" t="n">
        <v>0</v>
      </c>
      <c r="F19" s="12" t="n">
        <v>0</v>
      </c>
      <c r="G19" s="12" t="n">
        <v>0</v>
      </c>
      <c r="H19" s="16" t="n">
        <v>192.3</v>
      </c>
    </row>
    <row r="20">
      <c r="A20" s="8" t="n">
        <v>3</v>
      </c>
      <c r="B20" s="12" t="n">
        <v>228.5</v>
      </c>
      <c r="C20" s="23" t="inlineStr">
        <is>
          <t>Phase1</t>
        </is>
      </c>
      <c r="D20" s="12" t="n">
        <v>36</v>
      </c>
      <c r="E20" s="12" t="n">
        <v>0</v>
      </c>
      <c r="F20" s="12" t="n">
        <v>0</v>
      </c>
      <c r="G20" s="12" t="n">
        <v>0</v>
      </c>
      <c r="H20" s="16" t="n">
        <v>228.5</v>
      </c>
    </row>
    <row r="21">
      <c r="A21" s="8" t="n">
        <v>4</v>
      </c>
      <c r="B21" s="12" t="n">
        <v>264.7</v>
      </c>
      <c r="C21" s="23" t="inlineStr">
        <is>
          <t>Phase1</t>
        </is>
      </c>
      <c r="D21" s="12" t="n">
        <v>36</v>
      </c>
      <c r="E21" s="12" t="n">
        <v>0</v>
      </c>
      <c r="F21" s="12" t="n">
        <v>0</v>
      </c>
      <c r="G21" s="12" t="n">
        <v>0</v>
      </c>
      <c r="H21" s="16" t="n">
        <v>264.7</v>
      </c>
    </row>
    <row r="22">
      <c r="A22" s="8" t="n">
        <v>5</v>
      </c>
      <c r="B22" s="12" t="n">
        <v>300</v>
      </c>
      <c r="C22" s="23" t="inlineStr">
        <is>
          <t>Phase2</t>
        </is>
      </c>
      <c r="D22" s="12" t="n">
        <v>36</v>
      </c>
      <c r="E22" s="12" t="n">
        <v>0</v>
      </c>
      <c r="F22" s="12" t="n">
        <v>1</v>
      </c>
      <c r="G22" s="12" t="n">
        <v>0</v>
      </c>
      <c r="H22" s="16" t="n">
        <v>300</v>
      </c>
    </row>
    <row r="23">
      <c r="A23" s="8" t="n">
        <v>6</v>
      </c>
      <c r="B23" s="12" t="n">
        <v>360.3</v>
      </c>
      <c r="C23" s="23" t="inlineStr">
        <is>
          <t>Phase2</t>
        </is>
      </c>
      <c r="D23" s="12" t="n">
        <v>0</v>
      </c>
      <c r="E23" s="12" t="n">
        <v>60</v>
      </c>
      <c r="F23" s="12" t="n">
        <v>36</v>
      </c>
      <c r="G23" s="12" t="n">
        <v>0</v>
      </c>
      <c r="H23" s="16" t="n">
        <v>360.3</v>
      </c>
    </row>
    <row r="24">
      <c r="A24" s="8" t="n">
        <v>7</v>
      </c>
      <c r="B24" s="12" t="n">
        <v>420.7</v>
      </c>
      <c r="C24" s="23" t="inlineStr">
        <is>
          <t>Phase2</t>
        </is>
      </c>
      <c r="D24" s="12" t="n">
        <v>0</v>
      </c>
      <c r="E24" s="12" t="n">
        <v>60</v>
      </c>
      <c r="F24" s="12" t="n">
        <v>36</v>
      </c>
      <c r="G24" s="12" t="n">
        <v>0</v>
      </c>
      <c r="H24" s="16" t="n">
        <v>420.7</v>
      </c>
    </row>
    <row r="25">
      <c r="A25" s="8" t="n">
        <v>8</v>
      </c>
      <c r="B25" s="12" t="n">
        <v>481.1</v>
      </c>
      <c r="C25" s="23" t="inlineStr">
        <is>
          <t>Phase2</t>
        </is>
      </c>
      <c r="D25" s="12" t="n">
        <v>0</v>
      </c>
      <c r="E25" s="12" t="n">
        <v>60</v>
      </c>
      <c r="F25" s="12" t="n">
        <v>36</v>
      </c>
      <c r="G25" s="12" t="n">
        <v>0</v>
      </c>
      <c r="H25" s="16" t="n">
        <v>481.1</v>
      </c>
    </row>
    <row r="26">
      <c r="A26" s="8" t="n">
        <v>9</v>
      </c>
      <c r="B26" s="12" t="n">
        <v>500</v>
      </c>
      <c r="C26" s="23" t="inlineStr">
        <is>
          <t>Done</t>
        </is>
      </c>
      <c r="D26" s="12" t="n">
        <v>0</v>
      </c>
      <c r="E26" s="12" t="n">
        <v>60</v>
      </c>
      <c r="F26" s="12" t="n">
        <v>36</v>
      </c>
      <c r="G26" s="12" t="n">
        <v>41.6</v>
      </c>
      <c r="H26" s="16" t="n">
        <v>500</v>
      </c>
    </row>
    <row r="27">
      <c r="A27" s="8" t="n">
        <v>10</v>
      </c>
      <c r="B27" s="12" t="n">
        <v>500</v>
      </c>
      <c r="C27" s="23" t="inlineStr">
        <is>
          <t>Done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6" t="n">
        <v>500</v>
      </c>
    </row>
    <row r="28">
      <c r="A28" s="8" t="n">
        <v>11</v>
      </c>
      <c r="B28" s="12" t="n">
        <v>500</v>
      </c>
      <c r="C28" s="23" t="inlineStr">
        <is>
          <t>Done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6" t="n">
        <v>500</v>
      </c>
    </row>
    <row r="29">
      <c r="A29" s="8" t="n">
        <v>12</v>
      </c>
      <c r="B29" s="12" t="n">
        <v>500</v>
      </c>
      <c r="C29" s="23" t="inlineStr">
        <is>
          <t>Done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6" t="n">
        <v>500</v>
      </c>
    </row>
    <row r="30">
      <c r="A30" s="8" t="n">
        <v>13</v>
      </c>
      <c r="B30" s="12" t="n">
        <v>500</v>
      </c>
      <c r="C30" s="23" t="inlineStr">
        <is>
          <t>Done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6" t="n">
        <v>500</v>
      </c>
    </row>
    <row r="31">
      <c r="A31" s="8" t="n">
        <v>14</v>
      </c>
      <c r="B31" s="12" t="n">
        <v>500</v>
      </c>
      <c r="C31" s="23" t="inlineStr">
        <is>
          <t>Done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6" t="n">
        <v>500</v>
      </c>
    </row>
    <row r="32">
      <c r="A32" s="8" t="n">
        <v>15</v>
      </c>
      <c r="B32" s="12" t="n">
        <v>500</v>
      </c>
      <c r="C32" s="23" t="inlineStr">
        <is>
          <t>Done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6" t="n">
        <v>500</v>
      </c>
    </row>
    <row r="34">
      <c r="A34" s="3" t="inlineStr">
        <is>
          <t>検証値サマリ</t>
        </is>
      </c>
    </row>
    <row r="35">
      <c r="A35" s="4" t="inlineStr">
        <is>
          <t>項目</t>
        </is>
      </c>
      <c r="B35" s="4" t="inlineStr">
        <is>
          <t>値</t>
        </is>
      </c>
    </row>
    <row r="36">
      <c r="A36" s="5" t="inlineStr">
        <is>
          <t>Phase1達成年</t>
        </is>
      </c>
      <c r="B36" s="24" t="n">
        <v>4</v>
      </c>
    </row>
    <row r="37">
      <c r="A37" s="5" t="inlineStr">
        <is>
          <t>Phase2達成年</t>
        </is>
      </c>
      <c r="B37" s="24" t="n">
        <v>8</v>
      </c>
    </row>
    <row r="38">
      <c r="A38" s="5" t="inlineStr">
        <is>
          <t>1年後残高</t>
        </is>
      </c>
      <c r="B38" s="16" t="n">
        <v>156.1</v>
      </c>
    </row>
    <row r="39">
      <c r="A39" s="5" t="inlineStr">
        <is>
          <t>2年後残高</t>
        </is>
      </c>
      <c r="B39" s="16" t="n">
        <v>192.3</v>
      </c>
    </row>
    <row r="40">
      <c r="A40" s="5" t="inlineStr">
        <is>
          <t>3年後残高</t>
        </is>
      </c>
      <c r="B40" s="16" t="n">
        <v>228.5</v>
      </c>
    </row>
    <row r="41">
      <c r="A41" s="5" t="inlineStr">
        <is>
          <t>4年後残高</t>
        </is>
      </c>
      <c r="B41" s="16" t="n">
        <v>264.7</v>
      </c>
    </row>
    <row r="42">
      <c r="A42" s="5" t="inlineStr">
        <is>
          <t>5年後残高</t>
        </is>
      </c>
      <c r="B42" s="16" t="n">
        <v>300</v>
      </c>
    </row>
    <row r="43">
      <c r="A43" s="5" t="inlineStr">
        <is>
          <t>6年後残高</t>
        </is>
      </c>
      <c r="B43" s="16" t="n">
        <v>360.3</v>
      </c>
    </row>
    <row r="44">
      <c r="A44" s="5" t="inlineStr">
        <is>
          <t>7年後残高</t>
        </is>
      </c>
      <c r="B44" s="16" t="n">
        <v>420.7</v>
      </c>
    </row>
    <row r="45">
      <c r="A45" s="5" t="inlineStr">
        <is>
          <t>8年後残高</t>
        </is>
      </c>
      <c r="B45" s="16" t="n">
        <v>481.1</v>
      </c>
    </row>
    <row r="46">
      <c r="A46" s="5" t="inlineStr">
        <is>
          <t>9年後残高</t>
        </is>
      </c>
      <c r="B46" s="16" t="n">
        <v>500</v>
      </c>
    </row>
    <row r="47">
      <c r="A47" s="5" t="inlineStr">
        <is>
          <t>10年後残高</t>
        </is>
      </c>
      <c r="B47" s="16" t="n">
        <v>500</v>
      </c>
    </row>
    <row r="48">
      <c r="A48" s="5" t="inlineStr">
        <is>
          <t>11年後残高</t>
        </is>
      </c>
      <c r="B48" s="16" t="n">
        <v>500</v>
      </c>
    </row>
    <row r="49">
      <c r="A49" s="5" t="inlineStr">
        <is>
          <t>12年後残高</t>
        </is>
      </c>
      <c r="B49" s="16" t="n">
        <v>500</v>
      </c>
    </row>
    <row r="50">
      <c r="A50" s="5" t="inlineStr">
        <is>
          <t>13年後残高</t>
        </is>
      </c>
      <c r="B50" s="16" t="n">
        <v>500</v>
      </c>
    </row>
    <row r="51">
      <c r="A51" s="5" t="inlineStr">
        <is>
          <t>14年後残高</t>
        </is>
      </c>
      <c r="B51" s="16" t="n">
        <v>500</v>
      </c>
    </row>
    <row r="52">
      <c r="A52" s="5" t="inlineStr">
        <is>
          <t>15年後残高</t>
        </is>
      </c>
      <c r="B52" s="16" t="n">
        <v>500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20" customWidth="1" min="4" max="4"/>
    <col width="20" customWidth="1" min="5" max="5"/>
  </cols>
  <sheetData>
    <row r="1">
      <c r="A1" s="9" t="inlineStr">
        <is>
          <t>退職後取り崩し検証</t>
        </is>
      </c>
    </row>
    <row r="3">
      <c r="A3" s="10" t="inlineStr">
        <is>
          <t>シナリオ: 初期1000万、年支出30万、年収入（年金）20万 → 年赤字10万</t>
        </is>
      </c>
    </row>
    <row r="5">
      <c r="A5" s="4" t="inlineStr">
        <is>
          <t>変数名</t>
        </is>
      </c>
      <c r="B5" s="4" t="inlineStr">
        <is>
          <t>値</t>
        </is>
      </c>
      <c r="C5" s="4" t="inlineStr">
        <is>
          <t>説明</t>
        </is>
      </c>
    </row>
    <row r="6">
      <c r="A6" s="5" t="inlineStr">
        <is>
          <t>initial</t>
        </is>
      </c>
      <c r="B6" s="11" t="n">
        <v>1000</v>
      </c>
      <c r="C6" s="8" t="inlineStr">
        <is>
          <t>初期残高（万円）</t>
        </is>
      </c>
    </row>
    <row r="7">
      <c r="A7" s="5" t="inlineStr">
        <is>
          <t>annual_expense</t>
        </is>
      </c>
      <c r="B7" s="11" t="n">
        <v>30</v>
      </c>
      <c r="C7" s="8" t="inlineStr">
        <is>
          <t>年間支出（万円）</t>
        </is>
      </c>
    </row>
    <row r="8">
      <c r="A8" s="5" t="inlineStr">
        <is>
          <t>annual_income</t>
        </is>
      </c>
      <c r="B8" s="11" t="n">
        <v>20</v>
      </c>
      <c r="C8" s="8" t="inlineStr">
        <is>
          <t>年間収入・年金（万円）</t>
        </is>
      </c>
    </row>
    <row r="9">
      <c r="A9" s="5" t="inlineStr">
        <is>
          <t>net_annual</t>
        </is>
      </c>
      <c r="B9" s="12">
        <f>B8-B7</f>
        <v/>
      </c>
      <c r="C9" s="8" t="inlineStr">
        <is>
          <t>年次収支（万円）= income - expense</t>
        </is>
      </c>
    </row>
    <row r="12">
      <c r="A12" s="3" t="inlineStr">
        <is>
          <t>年別推移</t>
        </is>
      </c>
    </row>
    <row r="13">
      <c r="A13" s="4" t="inlineStr">
        <is>
          <t>年</t>
        </is>
      </c>
      <c r="B13" s="4" t="inlineStr">
        <is>
          <t>残高（万円）</t>
        </is>
      </c>
      <c r="C13" s="4" t="inlineStr">
        <is>
          <t>枯渇</t>
        </is>
      </c>
      <c r="D13" s="4" t="inlineStr">
        <is>
          <t>検証値（GM）</t>
        </is>
      </c>
    </row>
    <row r="14">
      <c r="A14" s="8" t="n">
        <v>0</v>
      </c>
      <c r="B14" s="12" t="n">
        <v>1000</v>
      </c>
      <c r="C14" s="23" t="inlineStr"/>
      <c r="D14" s="16" t="n">
        <v>1000</v>
      </c>
    </row>
    <row r="15">
      <c r="A15" s="8" t="n">
        <v>1</v>
      </c>
      <c r="B15" s="12" t="n">
        <v>990</v>
      </c>
      <c r="C15" s="23" t="inlineStr"/>
      <c r="D15" s="16" t="n">
        <v>990</v>
      </c>
    </row>
    <row r="16">
      <c r="A16" s="8" t="n">
        <v>2</v>
      </c>
      <c r="B16" s="12" t="n">
        <v>980</v>
      </c>
      <c r="C16" s="23" t="inlineStr"/>
      <c r="D16" s="16" t="n">
        <v>980</v>
      </c>
    </row>
    <row r="17">
      <c r="A17" s="8" t="n">
        <v>3</v>
      </c>
      <c r="B17" s="12" t="n">
        <v>970</v>
      </c>
      <c r="C17" s="23" t="inlineStr"/>
      <c r="D17" s="16" t="n">
        <v>970</v>
      </c>
    </row>
    <row r="18">
      <c r="A18" s="8" t="n">
        <v>4</v>
      </c>
      <c r="B18" s="12" t="n">
        <v>960</v>
      </c>
      <c r="C18" s="23" t="inlineStr"/>
      <c r="D18" s="16" t="n">
        <v>960</v>
      </c>
    </row>
    <row r="19">
      <c r="A19" s="8" t="n">
        <v>5</v>
      </c>
      <c r="B19" s="12" t="n">
        <v>950</v>
      </c>
      <c r="C19" s="23" t="inlineStr"/>
      <c r="D19" s="16" t="n">
        <v>950</v>
      </c>
    </row>
    <row r="20">
      <c r="A20" s="8" t="n">
        <v>6</v>
      </c>
      <c r="B20" s="12" t="n">
        <v>940</v>
      </c>
      <c r="C20" s="23" t="inlineStr"/>
      <c r="D20" s="16" t="n">
        <v>940</v>
      </c>
    </row>
    <row r="21">
      <c r="A21" s="8" t="n">
        <v>7</v>
      </c>
      <c r="B21" s="12" t="n">
        <v>930</v>
      </c>
      <c r="C21" s="23" t="inlineStr"/>
      <c r="D21" s="16" t="n">
        <v>930</v>
      </c>
    </row>
    <row r="22">
      <c r="A22" s="8" t="n">
        <v>8</v>
      </c>
      <c r="B22" s="12" t="n">
        <v>920</v>
      </c>
      <c r="C22" s="23" t="inlineStr"/>
      <c r="D22" s="16" t="n">
        <v>920</v>
      </c>
    </row>
    <row r="23">
      <c r="A23" s="8" t="n">
        <v>9</v>
      </c>
      <c r="B23" s="12" t="n">
        <v>910</v>
      </c>
      <c r="C23" s="23" t="inlineStr"/>
      <c r="D23" s="16" t="n">
        <v>910</v>
      </c>
    </row>
    <row r="24">
      <c r="A24" s="8" t="n">
        <v>10</v>
      </c>
      <c r="B24" s="12" t="n">
        <v>900</v>
      </c>
      <c r="C24" s="23" t="inlineStr"/>
      <c r="D24" s="16" t="n">
        <v>900</v>
      </c>
    </row>
    <row r="25">
      <c r="A25" s="8" t="n">
        <v>11</v>
      </c>
      <c r="B25" s="12" t="n">
        <v>890</v>
      </c>
      <c r="C25" s="23" t="inlineStr"/>
      <c r="D25" s="16" t="n">
        <v>890</v>
      </c>
    </row>
    <row r="26">
      <c r="A26" s="8" t="n">
        <v>12</v>
      </c>
      <c r="B26" s="12" t="n">
        <v>880</v>
      </c>
      <c r="C26" s="23" t="inlineStr"/>
      <c r="D26" s="16" t="n">
        <v>880</v>
      </c>
    </row>
    <row r="27">
      <c r="A27" s="8" t="n">
        <v>13</v>
      </c>
      <c r="B27" s="12" t="n">
        <v>870</v>
      </c>
      <c r="C27" s="23" t="inlineStr"/>
      <c r="D27" s="16" t="n">
        <v>870</v>
      </c>
    </row>
    <row r="28">
      <c r="A28" s="8" t="n">
        <v>14</v>
      </c>
      <c r="B28" s="12" t="n">
        <v>860</v>
      </c>
      <c r="C28" s="23" t="inlineStr"/>
      <c r="D28" s="16" t="n">
        <v>860</v>
      </c>
    </row>
    <row r="29">
      <c r="A29" s="8" t="n">
        <v>15</v>
      </c>
      <c r="B29" s="12" t="n">
        <v>850</v>
      </c>
      <c r="C29" s="23" t="inlineStr"/>
      <c r="D29" s="16" t="n">
        <v>850</v>
      </c>
    </row>
    <row r="30">
      <c r="A30" s="8" t="n">
        <v>16</v>
      </c>
      <c r="B30" s="12" t="n">
        <v>840</v>
      </c>
      <c r="C30" s="23" t="inlineStr"/>
      <c r="D30" s="16" t="n">
        <v>840</v>
      </c>
    </row>
    <row r="31">
      <c r="A31" s="8" t="n">
        <v>17</v>
      </c>
      <c r="B31" s="12" t="n">
        <v>830</v>
      </c>
      <c r="C31" s="23" t="inlineStr"/>
      <c r="D31" s="16" t="n">
        <v>830</v>
      </c>
    </row>
    <row r="32">
      <c r="A32" s="8" t="n">
        <v>18</v>
      </c>
      <c r="B32" s="12" t="n">
        <v>820</v>
      </c>
      <c r="C32" s="23" t="inlineStr"/>
      <c r="D32" s="16" t="n">
        <v>820</v>
      </c>
    </row>
    <row r="33">
      <c r="A33" s="8" t="n">
        <v>19</v>
      </c>
      <c r="B33" s="12" t="n">
        <v>810</v>
      </c>
      <c r="C33" s="23" t="inlineStr"/>
      <c r="D33" s="16" t="n">
        <v>810</v>
      </c>
    </row>
    <row r="34">
      <c r="A34" s="8" t="n">
        <v>20</v>
      </c>
      <c r="B34" s="12" t="n">
        <v>800</v>
      </c>
      <c r="C34" s="23" t="inlineStr"/>
      <c r="D34" s="16" t="n">
        <v>800</v>
      </c>
    </row>
    <row r="35">
      <c r="A35" s="8" t="n">
        <v>21</v>
      </c>
      <c r="B35" s="12" t="n">
        <v>790</v>
      </c>
      <c r="C35" s="23" t="inlineStr"/>
      <c r="D35" s="16" t="n">
        <v>790</v>
      </c>
    </row>
    <row r="36">
      <c r="A36" s="8" t="n">
        <v>22</v>
      </c>
      <c r="B36" s="12" t="n">
        <v>780</v>
      </c>
      <c r="C36" s="23" t="inlineStr"/>
      <c r="D36" s="16" t="n">
        <v>780</v>
      </c>
    </row>
    <row r="37">
      <c r="A37" s="8" t="n">
        <v>23</v>
      </c>
      <c r="B37" s="12" t="n">
        <v>770</v>
      </c>
      <c r="C37" s="23" t="inlineStr"/>
      <c r="D37" s="16" t="n">
        <v>770</v>
      </c>
    </row>
    <row r="38">
      <c r="A38" s="8" t="n">
        <v>24</v>
      </c>
      <c r="B38" s="12" t="n">
        <v>760</v>
      </c>
      <c r="C38" s="23" t="inlineStr"/>
      <c r="D38" s="16" t="n">
        <v>760</v>
      </c>
    </row>
    <row r="39">
      <c r="A39" s="8" t="n">
        <v>25</v>
      </c>
      <c r="B39" s="12" t="n">
        <v>750</v>
      </c>
      <c r="C39" s="23" t="inlineStr"/>
      <c r="D39" s="16" t="n">
        <v>750</v>
      </c>
    </row>
    <row r="40">
      <c r="A40" s="8" t="n">
        <v>26</v>
      </c>
      <c r="B40" s="12" t="n">
        <v>740</v>
      </c>
      <c r="C40" s="23" t="inlineStr"/>
      <c r="D40" s="16" t="n">
        <v>740</v>
      </c>
    </row>
    <row r="41">
      <c r="A41" s="8" t="n">
        <v>27</v>
      </c>
      <c r="B41" s="12" t="n">
        <v>730</v>
      </c>
      <c r="C41" s="23" t="inlineStr"/>
      <c r="D41" s="16" t="n">
        <v>730</v>
      </c>
    </row>
    <row r="42">
      <c r="A42" s="8" t="n">
        <v>28</v>
      </c>
      <c r="B42" s="12" t="n">
        <v>720</v>
      </c>
      <c r="C42" s="23" t="inlineStr"/>
      <c r="D42" s="16" t="n">
        <v>720</v>
      </c>
    </row>
    <row r="43">
      <c r="A43" s="8" t="n">
        <v>29</v>
      </c>
      <c r="B43" s="12" t="n">
        <v>710</v>
      </c>
      <c r="C43" s="23" t="inlineStr"/>
      <c r="D43" s="16" t="n">
        <v>710</v>
      </c>
    </row>
    <row r="44">
      <c r="A44" s="8" t="n">
        <v>30</v>
      </c>
      <c r="B44" s="12" t="n">
        <v>700</v>
      </c>
      <c r="C44" s="23" t="inlineStr"/>
      <c r="D44" s="16" t="n">
        <v>700</v>
      </c>
    </row>
    <row r="45">
      <c r="A45" s="8" t="n">
        <v>31</v>
      </c>
      <c r="B45" s="12" t="n">
        <v>690</v>
      </c>
      <c r="C45" s="23" t="inlineStr"/>
      <c r="D45" s="16" t="n">
        <v>690</v>
      </c>
    </row>
    <row r="46">
      <c r="A46" s="8" t="n">
        <v>32</v>
      </c>
      <c r="B46" s="12" t="n">
        <v>680</v>
      </c>
      <c r="C46" s="23" t="inlineStr"/>
      <c r="D46" s="16" t="n">
        <v>680</v>
      </c>
    </row>
    <row r="47">
      <c r="A47" s="8" t="n">
        <v>33</v>
      </c>
      <c r="B47" s="12" t="n">
        <v>670</v>
      </c>
      <c r="C47" s="23" t="inlineStr"/>
      <c r="D47" s="16" t="n">
        <v>670</v>
      </c>
    </row>
    <row r="48">
      <c r="A48" s="8" t="n">
        <v>34</v>
      </c>
      <c r="B48" s="12" t="n">
        <v>660</v>
      </c>
      <c r="C48" s="23" t="inlineStr"/>
      <c r="D48" s="16" t="n">
        <v>660</v>
      </c>
    </row>
    <row r="49">
      <c r="A49" s="8" t="n">
        <v>35</v>
      </c>
      <c r="B49" s="12" t="n">
        <v>650</v>
      </c>
      <c r="C49" s="23" t="inlineStr"/>
      <c r="D49" s="16" t="n">
        <v>650</v>
      </c>
    </row>
    <row r="50">
      <c r="A50" s="8" t="n">
        <v>36</v>
      </c>
      <c r="B50" s="12" t="n">
        <v>640</v>
      </c>
      <c r="C50" s="23" t="inlineStr"/>
      <c r="D50" s="16" t="n">
        <v>640</v>
      </c>
    </row>
    <row r="51">
      <c r="A51" s="8" t="n">
        <v>37</v>
      </c>
      <c r="B51" s="12" t="n">
        <v>630</v>
      </c>
      <c r="C51" s="23" t="inlineStr"/>
      <c r="D51" s="16" t="n">
        <v>630</v>
      </c>
    </row>
    <row r="52">
      <c r="A52" s="8" t="n">
        <v>38</v>
      </c>
      <c r="B52" s="12" t="n">
        <v>620</v>
      </c>
      <c r="C52" s="23" t="inlineStr"/>
      <c r="D52" s="16" t="n">
        <v>620</v>
      </c>
    </row>
    <row r="53">
      <c r="A53" s="8" t="n">
        <v>39</v>
      </c>
      <c r="B53" s="12" t="n">
        <v>610</v>
      </c>
      <c r="C53" s="23" t="inlineStr"/>
      <c r="D53" s="16" t="n">
        <v>610</v>
      </c>
    </row>
    <row r="54">
      <c r="A54" s="8" t="n">
        <v>40</v>
      </c>
      <c r="B54" s="12" t="n">
        <v>600</v>
      </c>
      <c r="C54" s="23" t="inlineStr"/>
      <c r="D54" s="16" t="n">
        <v>600</v>
      </c>
    </row>
    <row r="55">
      <c r="A55" s="8" t="n">
        <v>41</v>
      </c>
      <c r="B55" s="12" t="n">
        <v>590</v>
      </c>
      <c r="C55" s="23" t="inlineStr"/>
      <c r="D55" s="16" t="n">
        <v>590</v>
      </c>
    </row>
    <row r="56">
      <c r="A56" s="8" t="n">
        <v>42</v>
      </c>
      <c r="B56" s="12" t="n">
        <v>580</v>
      </c>
      <c r="C56" s="23" t="inlineStr"/>
      <c r="D56" s="16" t="n">
        <v>580</v>
      </c>
    </row>
    <row r="57">
      <c r="A57" s="8" t="n">
        <v>43</v>
      </c>
      <c r="B57" s="12" t="n">
        <v>570</v>
      </c>
      <c r="C57" s="23" t="inlineStr"/>
      <c r="D57" s="16" t="n">
        <v>570</v>
      </c>
    </row>
    <row r="58">
      <c r="A58" s="8" t="n">
        <v>44</v>
      </c>
      <c r="B58" s="12" t="n">
        <v>560</v>
      </c>
      <c r="C58" s="23" t="inlineStr"/>
      <c r="D58" s="16" t="n">
        <v>560</v>
      </c>
    </row>
    <row r="59">
      <c r="A59" s="8" t="n">
        <v>45</v>
      </c>
      <c r="B59" s="12" t="n">
        <v>550</v>
      </c>
      <c r="C59" s="23" t="inlineStr"/>
      <c r="D59" s="16" t="n">
        <v>550</v>
      </c>
    </row>
    <row r="60">
      <c r="A60" s="8" t="n">
        <v>46</v>
      </c>
      <c r="B60" s="12" t="n">
        <v>540</v>
      </c>
      <c r="C60" s="23" t="inlineStr"/>
      <c r="D60" s="16" t="n">
        <v>540</v>
      </c>
    </row>
    <row r="61">
      <c r="A61" s="8" t="n">
        <v>47</v>
      </c>
      <c r="B61" s="12" t="n">
        <v>530</v>
      </c>
      <c r="C61" s="23" t="inlineStr"/>
      <c r="D61" s="16" t="n">
        <v>530</v>
      </c>
    </row>
    <row r="62">
      <c r="A62" s="8" t="n">
        <v>48</v>
      </c>
      <c r="B62" s="12" t="n">
        <v>520</v>
      </c>
      <c r="C62" s="23" t="inlineStr"/>
      <c r="D62" s="16" t="n">
        <v>520</v>
      </c>
    </row>
    <row r="63">
      <c r="A63" s="8" t="n">
        <v>49</v>
      </c>
      <c r="B63" s="12" t="n">
        <v>510</v>
      </c>
      <c r="C63" s="23" t="inlineStr"/>
      <c r="D63" s="16" t="n">
        <v>510</v>
      </c>
    </row>
    <row r="64">
      <c r="A64" s="8" t="n">
        <v>50</v>
      </c>
      <c r="B64" s="12" t="n">
        <v>500</v>
      </c>
      <c r="C64" s="23" t="inlineStr"/>
      <c r="D64" s="16" t="n">
        <v>500</v>
      </c>
    </row>
    <row r="65">
      <c r="A65" s="8" t="n">
        <v>51</v>
      </c>
      <c r="B65" s="12" t="n">
        <v>490</v>
      </c>
      <c r="C65" s="23" t="inlineStr"/>
      <c r="D65" s="16" t="n">
        <v>490</v>
      </c>
    </row>
    <row r="66">
      <c r="A66" s="8" t="n">
        <v>52</v>
      </c>
      <c r="B66" s="12" t="n">
        <v>480</v>
      </c>
      <c r="C66" s="23" t="inlineStr"/>
      <c r="D66" s="16" t="n">
        <v>480</v>
      </c>
    </row>
    <row r="67">
      <c r="A67" s="8" t="n">
        <v>53</v>
      </c>
      <c r="B67" s="12" t="n">
        <v>470</v>
      </c>
      <c r="C67" s="23" t="inlineStr"/>
      <c r="D67" s="16" t="n">
        <v>470</v>
      </c>
    </row>
    <row r="68">
      <c r="A68" s="8" t="n">
        <v>54</v>
      </c>
      <c r="B68" s="12" t="n">
        <v>460</v>
      </c>
      <c r="C68" s="23" t="inlineStr"/>
      <c r="D68" s="16" t="n">
        <v>460</v>
      </c>
    </row>
    <row r="69">
      <c r="A69" s="8" t="n">
        <v>55</v>
      </c>
      <c r="B69" s="12" t="n">
        <v>450</v>
      </c>
      <c r="C69" s="23" t="inlineStr"/>
      <c r="D69" s="16" t="n">
        <v>450</v>
      </c>
    </row>
    <row r="70">
      <c r="A70" s="8" t="n">
        <v>56</v>
      </c>
      <c r="B70" s="12" t="n">
        <v>440</v>
      </c>
      <c r="C70" s="23" t="inlineStr"/>
      <c r="D70" s="16" t="n">
        <v>440</v>
      </c>
    </row>
    <row r="71">
      <c r="A71" s="8" t="n">
        <v>57</v>
      </c>
      <c r="B71" s="12" t="n">
        <v>430</v>
      </c>
      <c r="C71" s="23" t="inlineStr"/>
      <c r="D71" s="16" t="n">
        <v>430</v>
      </c>
    </row>
    <row r="72">
      <c r="A72" s="8" t="n">
        <v>58</v>
      </c>
      <c r="B72" s="12" t="n">
        <v>420</v>
      </c>
      <c r="C72" s="23" t="inlineStr"/>
      <c r="D72" s="16" t="n">
        <v>420</v>
      </c>
    </row>
    <row r="73">
      <c r="A73" s="8" t="n">
        <v>59</v>
      </c>
      <c r="B73" s="12" t="n">
        <v>410</v>
      </c>
      <c r="C73" s="23" t="inlineStr"/>
      <c r="D73" s="16" t="n">
        <v>410</v>
      </c>
    </row>
    <row r="74">
      <c r="A74" s="8" t="n">
        <v>60</v>
      </c>
      <c r="B74" s="12" t="n">
        <v>400</v>
      </c>
      <c r="C74" s="23" t="inlineStr"/>
      <c r="D74" s="16" t="n">
        <v>400</v>
      </c>
    </row>
    <row r="75">
      <c r="A75" s="8" t="n">
        <v>61</v>
      </c>
      <c r="B75" s="12" t="n">
        <v>390</v>
      </c>
      <c r="C75" s="23" t="inlineStr"/>
      <c r="D75" s="16" t="n">
        <v>390</v>
      </c>
    </row>
    <row r="76">
      <c r="A76" s="8" t="n">
        <v>62</v>
      </c>
      <c r="B76" s="12" t="n">
        <v>380</v>
      </c>
      <c r="C76" s="23" t="inlineStr"/>
      <c r="D76" s="16" t="n">
        <v>380</v>
      </c>
    </row>
    <row r="77">
      <c r="A77" s="8" t="n">
        <v>63</v>
      </c>
      <c r="B77" s="12" t="n">
        <v>370</v>
      </c>
      <c r="C77" s="23" t="inlineStr"/>
      <c r="D77" s="16" t="n">
        <v>370</v>
      </c>
    </row>
    <row r="78">
      <c r="A78" s="8" t="n">
        <v>64</v>
      </c>
      <c r="B78" s="12" t="n">
        <v>360</v>
      </c>
      <c r="C78" s="23" t="inlineStr"/>
      <c r="D78" s="16" t="n">
        <v>360</v>
      </c>
    </row>
    <row r="79">
      <c r="A79" s="8" t="n">
        <v>65</v>
      </c>
      <c r="B79" s="12" t="n">
        <v>350</v>
      </c>
      <c r="C79" s="23" t="inlineStr"/>
      <c r="D79" s="16" t="n">
        <v>350</v>
      </c>
    </row>
    <row r="80">
      <c r="A80" s="8" t="n">
        <v>66</v>
      </c>
      <c r="B80" s="12" t="n">
        <v>340</v>
      </c>
      <c r="C80" s="23" t="inlineStr"/>
      <c r="D80" s="16" t="n">
        <v>340</v>
      </c>
    </row>
    <row r="81">
      <c r="A81" s="8" t="n">
        <v>67</v>
      </c>
      <c r="B81" s="12" t="n">
        <v>330</v>
      </c>
      <c r="C81" s="23" t="inlineStr"/>
      <c r="D81" s="16" t="n">
        <v>330</v>
      </c>
    </row>
    <row r="82">
      <c r="A82" s="8" t="n">
        <v>68</v>
      </c>
      <c r="B82" s="12" t="n">
        <v>320</v>
      </c>
      <c r="C82" s="23" t="inlineStr"/>
      <c r="D82" s="16" t="n">
        <v>320</v>
      </c>
    </row>
    <row r="83">
      <c r="A83" s="8" t="n">
        <v>69</v>
      </c>
      <c r="B83" s="12" t="n">
        <v>310</v>
      </c>
      <c r="C83" s="23" t="inlineStr"/>
      <c r="D83" s="16" t="n">
        <v>310</v>
      </c>
    </row>
    <row r="84">
      <c r="A84" s="8" t="n">
        <v>70</v>
      </c>
      <c r="B84" s="12" t="n">
        <v>300</v>
      </c>
      <c r="C84" s="23" t="inlineStr"/>
      <c r="D84" s="16" t="n">
        <v>300</v>
      </c>
    </row>
    <row r="85">
      <c r="A85" s="8" t="n">
        <v>71</v>
      </c>
      <c r="B85" s="12" t="n">
        <v>290</v>
      </c>
      <c r="C85" s="23" t="inlineStr"/>
      <c r="D85" s="16" t="n">
        <v>290</v>
      </c>
    </row>
    <row r="86">
      <c r="A86" s="8" t="n">
        <v>72</v>
      </c>
      <c r="B86" s="12" t="n">
        <v>280</v>
      </c>
      <c r="C86" s="23" t="inlineStr"/>
      <c r="D86" s="16" t="n">
        <v>280</v>
      </c>
    </row>
    <row r="87">
      <c r="A87" s="8" t="n">
        <v>73</v>
      </c>
      <c r="B87" s="12" t="n">
        <v>270</v>
      </c>
      <c r="C87" s="23" t="inlineStr"/>
      <c r="D87" s="16" t="n">
        <v>270</v>
      </c>
    </row>
    <row r="88">
      <c r="A88" s="8" t="n">
        <v>74</v>
      </c>
      <c r="B88" s="12" t="n">
        <v>260</v>
      </c>
      <c r="C88" s="23" t="inlineStr"/>
      <c r="D88" s="16" t="n">
        <v>260</v>
      </c>
    </row>
    <row r="89">
      <c r="A89" s="8" t="n">
        <v>75</v>
      </c>
      <c r="B89" s="12" t="n">
        <v>250</v>
      </c>
      <c r="C89" s="23" t="inlineStr"/>
      <c r="D89" s="16" t="n">
        <v>250</v>
      </c>
    </row>
    <row r="90">
      <c r="A90" s="8" t="n">
        <v>76</v>
      </c>
      <c r="B90" s="12" t="n">
        <v>240</v>
      </c>
      <c r="C90" s="23" t="inlineStr"/>
      <c r="D90" s="16" t="n">
        <v>240</v>
      </c>
    </row>
    <row r="91">
      <c r="A91" s="8" t="n">
        <v>77</v>
      </c>
      <c r="B91" s="12" t="n">
        <v>230</v>
      </c>
      <c r="C91" s="23" t="inlineStr"/>
      <c r="D91" s="16" t="n">
        <v>230</v>
      </c>
    </row>
    <row r="92">
      <c r="A92" s="8" t="n">
        <v>78</v>
      </c>
      <c r="B92" s="12" t="n">
        <v>220</v>
      </c>
      <c r="C92" s="23" t="inlineStr"/>
      <c r="D92" s="16" t="n">
        <v>220</v>
      </c>
    </row>
    <row r="93">
      <c r="A93" s="8" t="n">
        <v>79</v>
      </c>
      <c r="B93" s="12" t="n">
        <v>210</v>
      </c>
      <c r="C93" s="23" t="inlineStr"/>
      <c r="D93" s="16" t="n">
        <v>210</v>
      </c>
    </row>
    <row r="94">
      <c r="A94" s="8" t="n">
        <v>80</v>
      </c>
      <c r="B94" s="12" t="n">
        <v>200</v>
      </c>
      <c r="C94" s="23" t="inlineStr"/>
      <c r="D94" s="16" t="n">
        <v>200</v>
      </c>
    </row>
    <row r="95">
      <c r="A95" s="8" t="n">
        <v>81</v>
      </c>
      <c r="B95" s="12" t="n">
        <v>190</v>
      </c>
      <c r="C95" s="23" t="inlineStr"/>
      <c r="D95" s="16" t="n">
        <v>190</v>
      </c>
    </row>
    <row r="96">
      <c r="A96" s="8" t="n">
        <v>82</v>
      </c>
      <c r="B96" s="12" t="n">
        <v>180</v>
      </c>
      <c r="C96" s="23" t="inlineStr"/>
      <c r="D96" s="16" t="n">
        <v>180</v>
      </c>
    </row>
    <row r="97">
      <c r="A97" s="8" t="n">
        <v>83</v>
      </c>
      <c r="B97" s="12" t="n">
        <v>170</v>
      </c>
      <c r="C97" s="23" t="inlineStr"/>
      <c r="D97" s="16" t="n">
        <v>170</v>
      </c>
    </row>
    <row r="98">
      <c r="A98" s="8" t="n">
        <v>84</v>
      </c>
      <c r="B98" s="12" t="n">
        <v>160</v>
      </c>
      <c r="C98" s="23" t="inlineStr"/>
      <c r="D98" s="16" t="n">
        <v>160</v>
      </c>
    </row>
    <row r="99">
      <c r="A99" s="8" t="n">
        <v>85</v>
      </c>
      <c r="B99" s="12" t="n">
        <v>150</v>
      </c>
      <c r="C99" s="23" t="inlineStr"/>
      <c r="D99" s="16" t="n">
        <v>150</v>
      </c>
    </row>
    <row r="100">
      <c r="A100" s="8" t="n">
        <v>86</v>
      </c>
      <c r="B100" s="12" t="n">
        <v>140</v>
      </c>
      <c r="C100" s="23" t="inlineStr"/>
      <c r="D100" s="16" t="n">
        <v>140</v>
      </c>
    </row>
    <row r="101">
      <c r="A101" s="8" t="n">
        <v>87</v>
      </c>
      <c r="B101" s="12" t="n">
        <v>130</v>
      </c>
      <c r="C101" s="23" t="inlineStr"/>
      <c r="D101" s="16" t="n">
        <v>130</v>
      </c>
    </row>
    <row r="102">
      <c r="A102" s="8" t="n">
        <v>88</v>
      </c>
      <c r="B102" s="12" t="n">
        <v>120</v>
      </c>
      <c r="C102" s="23" t="inlineStr"/>
      <c r="D102" s="16" t="n">
        <v>120</v>
      </c>
    </row>
    <row r="103">
      <c r="A103" s="8" t="n">
        <v>89</v>
      </c>
      <c r="B103" s="12" t="n">
        <v>110</v>
      </c>
      <c r="C103" s="23" t="inlineStr"/>
      <c r="D103" s="16" t="n">
        <v>110</v>
      </c>
    </row>
    <row r="104">
      <c r="A104" s="8" t="n">
        <v>90</v>
      </c>
      <c r="B104" s="12" t="n">
        <v>100</v>
      </c>
      <c r="C104" s="23" t="inlineStr"/>
      <c r="D104" s="16" t="n">
        <v>100</v>
      </c>
    </row>
    <row r="105">
      <c r="A105" s="8" t="n">
        <v>91</v>
      </c>
      <c r="B105" s="12" t="n">
        <v>90</v>
      </c>
      <c r="C105" s="23" t="inlineStr"/>
      <c r="D105" s="16" t="n">
        <v>90</v>
      </c>
    </row>
    <row r="106">
      <c r="A106" s="8" t="n">
        <v>92</v>
      </c>
      <c r="B106" s="12" t="n">
        <v>80</v>
      </c>
      <c r="C106" s="23" t="inlineStr"/>
      <c r="D106" s="16" t="n">
        <v>80</v>
      </c>
    </row>
    <row r="107">
      <c r="A107" s="8" t="n">
        <v>93</v>
      </c>
      <c r="B107" s="12" t="n">
        <v>70</v>
      </c>
      <c r="C107" s="23" t="inlineStr"/>
      <c r="D107" s="16" t="n">
        <v>70</v>
      </c>
    </row>
    <row r="108">
      <c r="A108" s="8" t="n">
        <v>94</v>
      </c>
      <c r="B108" s="12" t="n">
        <v>60</v>
      </c>
      <c r="C108" s="23" t="inlineStr"/>
      <c r="D108" s="16" t="n">
        <v>60</v>
      </c>
    </row>
    <row r="109">
      <c r="A109" s="8" t="n">
        <v>95</v>
      </c>
      <c r="B109" s="12" t="n">
        <v>50</v>
      </c>
      <c r="C109" s="23" t="inlineStr"/>
      <c r="D109" s="16" t="n">
        <v>50</v>
      </c>
    </row>
    <row r="110">
      <c r="A110" s="8" t="n">
        <v>96</v>
      </c>
      <c r="B110" s="12" t="n">
        <v>40</v>
      </c>
      <c r="C110" s="23" t="inlineStr"/>
      <c r="D110" s="16" t="n">
        <v>40</v>
      </c>
    </row>
    <row r="111">
      <c r="A111" s="8" t="n">
        <v>97</v>
      </c>
      <c r="B111" s="12" t="n">
        <v>30</v>
      </c>
      <c r="C111" s="23" t="inlineStr"/>
      <c r="D111" s="16" t="n">
        <v>30</v>
      </c>
    </row>
    <row r="112">
      <c r="A112" s="8" t="n">
        <v>98</v>
      </c>
      <c r="B112" s="12" t="n">
        <v>20</v>
      </c>
      <c r="C112" s="23" t="inlineStr"/>
      <c r="D112" s="16" t="n">
        <v>20</v>
      </c>
    </row>
    <row r="113">
      <c r="A113" s="8" t="n">
        <v>99</v>
      </c>
      <c r="B113" s="12" t="n">
        <v>10</v>
      </c>
      <c r="C113" s="23" t="inlineStr"/>
      <c r="D113" s="16" t="n">
        <v>10</v>
      </c>
    </row>
    <row r="114">
      <c r="A114" s="8" t="n">
        <v>100</v>
      </c>
      <c r="B114" s="12" t="n">
        <v>0</v>
      </c>
      <c r="C114" s="23" t="inlineStr">
        <is>
          <t>枯渇</t>
        </is>
      </c>
      <c r="D114" s="16" t="n">
        <v>0</v>
      </c>
    </row>
    <row r="116">
      <c r="A116" s="3" t="inlineStr">
        <is>
          <t>検証値サマリ</t>
        </is>
      </c>
    </row>
    <row r="117">
      <c r="A117" s="4" t="inlineStr">
        <is>
          <t>項目</t>
        </is>
      </c>
      <c r="B117" s="4" t="inlineStr">
        <is>
          <t>値</t>
        </is>
      </c>
    </row>
    <row r="118">
      <c r="A118" s="5" t="inlineStr">
        <is>
          <t>枯渇年</t>
        </is>
      </c>
      <c r="B118" s="24" t="n">
        <v>100</v>
      </c>
    </row>
    <row r="119">
      <c r="A119" s="5" t="inlineStr">
        <is>
          <t>10年後残高</t>
        </is>
      </c>
      <c r="B119" s="16" t="n">
        <v>900</v>
      </c>
    </row>
    <row r="120">
      <c r="A120" s="5" t="inlineStr">
        <is>
          <t>50年後残高</t>
        </is>
      </c>
      <c r="B120" s="16" t="n">
        <v>500</v>
      </c>
    </row>
    <row r="121">
      <c r="A121" s="5" t="inlineStr">
        <is>
          <t>100年後残高</t>
        </is>
      </c>
      <c r="B121" s="16" t="n">
        <v>0</v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2026-04-16T04:26:35Z</dcterms:created>
  <dcterms:modified xsi:type="dcterms:W3CDTF">2026-04-16T04:26:35Z</dcterms:modified>
</cp:coreProperties>
</file>